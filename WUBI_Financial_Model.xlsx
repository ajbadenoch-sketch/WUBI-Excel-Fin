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User Growth" sheetId="2" state="visible" r:id="rId2"/>
    <sheet name="P&amp;L Projection" sheetId="3" state="visible" r:id="rId3"/>
    <sheet name="Unit Economics" sheetId="4" state="visible" r:id="rId4"/>
    <sheet name="Dashboard" sheetId="5" state="visible" r:id="rId5"/>
    <sheet name="Scenarios" sheetId="6" state="visible" r:id="rId6"/>
    <sheet name="Sensitivity" sheetId="7" state="visible" r:id="rId7"/>
  </sheets>
  <definedNames>
    <definedName name="PrecioPro">Assumptions!$B$5</definedName>
    <definedName name="PrecioProPlus">Assumptions!$B$6</definedName>
    <definedName name="PrecioFamily">Assumptions!$B$7</definedName>
    <definedName name="MarginPro">Assumptions!$B$10</definedName>
    <definedName name="MarginProPlus">Assumptions!$B$11</definedName>
    <definedName name="MarginFamily">Assumptions!$B$12</definedName>
    <definedName name="CACPro">Assumptions!$B$16</definedName>
    <definedName name="CACProPlus">Assumptions!$B$17</definedName>
    <definedName name="CACFamily">Assumptions!$B$18</definedName>
    <definedName name="ChurnPro">Assumptions!$B$21</definedName>
    <definedName name="ChurnProPlus">Assumptions!$B$22</definedName>
    <definedName name="ChurnFamily">Assumptions!$B$23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&quot;x&quot;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1"/>
    </font>
    <font>
      <b val="1"/>
      <color rgb="00002060"/>
    </font>
    <font>
      <b val="1"/>
      <color rgb="00FFFFFF"/>
      <sz val="12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6E4F5"/>
        <bgColor rgb="00D6E4F5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2" borderId="0" pivotButton="0" quotePrefix="0" xfId="0"/>
    <xf numFmtId="9" fontId="3" fillId="3" borderId="1" pivotButton="0" quotePrefix="0" xfId="0"/>
    <xf numFmtId="0" fontId="4" fillId="4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64" fontId="6" fillId="2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Active Users</a:t>
            </a:r>
          </a:p>
        </rich>
      </tx>
    </title>
    <plotArea>
      <lineChart>
        <grouping val="standard"/>
        <ser>
          <idx val="0"/>
          <order val="0"/>
          <tx>
            <strRef>
              <f>'User Growth'!H1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'User Growth'!$A$2:$A$25</f>
            </numRef>
          </cat>
          <val>
            <numRef>
              <f>'User Growth'!$H$2:$H$25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MRR vs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'P&amp;L Projection'!E1</f>
            </strRef>
          </tx>
          <spPr>
            <a:ln>
              <a:prstDash val="solid"/>
            </a:ln>
          </spPr>
          <cat>
            <numRef>
              <f>'P&amp;L Projection'!$A$2:$A$25</f>
            </numRef>
          </cat>
          <val>
            <numRef>
              <f>'P&amp;L Projection'!$E$2:$E$25</f>
            </numRef>
          </val>
        </ser>
        <ser>
          <idx val="1"/>
          <order val="1"/>
          <tx>
            <strRef>
              <f>'P&amp;L Projection'!H1</f>
            </strRef>
          </tx>
          <spPr>
            <a:ln>
              <a:prstDash val="solid"/>
            </a:ln>
          </spPr>
          <cat>
            <numRef>
              <f>'P&amp;L Projection'!$A$2:$A$25</f>
            </numRef>
          </cat>
          <val>
            <numRef>
              <f>'P&amp;L Projection'!$H$2:$H$25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WUBI - ASSUMPTIONS</t>
        </is>
      </c>
    </row>
    <row r="3">
      <c r="A3" s="2" t="inlineStr">
        <is>
          <t>PRICING (MXN/month)</t>
        </is>
      </c>
      <c r="B3" s="2" t="inlineStr">
        <is>
          <t>Value</t>
        </is>
      </c>
    </row>
    <row r="4">
      <c r="A4" t="inlineStr">
        <is>
          <t>Plan Free</t>
        </is>
      </c>
      <c r="B4" s="3" t="n">
        <v>0</v>
      </c>
    </row>
    <row r="5">
      <c r="A5" t="inlineStr">
        <is>
          <t>Plan Pro</t>
        </is>
      </c>
      <c r="B5" s="3" t="n">
        <v>149</v>
      </c>
    </row>
    <row r="6">
      <c r="A6" t="inlineStr">
        <is>
          <t>Plan Pro+</t>
        </is>
      </c>
      <c r="B6" s="3" t="n">
        <v>249</v>
      </c>
    </row>
    <row r="7">
      <c r="A7" t="inlineStr">
        <is>
          <t>Plan Family</t>
        </is>
      </c>
      <c r="B7" s="3" t="n">
        <v>399</v>
      </c>
    </row>
    <row r="9">
      <c r="A9" s="2" t="inlineStr">
        <is>
          <t>GROSS MARGIN (%)</t>
        </is>
      </c>
      <c r="B9" s="4" t="n"/>
    </row>
    <row r="10">
      <c r="A10" t="inlineStr">
        <is>
          <t>Margin Pro</t>
        </is>
      </c>
      <c r="B10" s="5" t="n">
        <v>0.84</v>
      </c>
    </row>
    <row r="11">
      <c r="A11" t="inlineStr">
        <is>
          <t>Margin Pro+</t>
        </is>
      </c>
      <c r="B11" s="5" t="n">
        <v>0.86</v>
      </c>
    </row>
    <row r="12">
      <c r="A12" t="inlineStr">
        <is>
          <t>Margin Family</t>
        </is>
      </c>
      <c r="B12" s="5" t="n">
        <v>0.88</v>
      </c>
    </row>
    <row r="14">
      <c r="A14" s="2" t="inlineStr">
        <is>
          <t>CAC PER PLAN (MXN)</t>
        </is>
      </c>
      <c r="B14" s="4" t="n"/>
    </row>
    <row r="15">
      <c r="A15" t="inlineStr">
        <is>
          <t>CAC Free</t>
        </is>
      </c>
      <c r="B15" s="3" t="n">
        <v>0</v>
      </c>
    </row>
    <row r="16">
      <c r="A16" t="inlineStr">
        <is>
          <t>CAC Pro</t>
        </is>
      </c>
      <c r="B16" s="3" t="n">
        <v>300</v>
      </c>
    </row>
    <row r="17">
      <c r="A17" t="inlineStr">
        <is>
          <t>CAC Pro+</t>
        </is>
      </c>
      <c r="B17" s="3" t="n">
        <v>350</v>
      </c>
    </row>
    <row r="18">
      <c r="A18" t="inlineStr">
        <is>
          <t>CAC Family</t>
        </is>
      </c>
      <c r="B18" s="3" t="n">
        <v>400</v>
      </c>
    </row>
    <row r="20">
      <c r="A20" s="2" t="inlineStr">
        <is>
          <t>MONTHLY CHURN (%)</t>
        </is>
      </c>
      <c r="B20" s="4" t="n"/>
    </row>
    <row r="21">
      <c r="A21" t="inlineStr">
        <is>
          <t>Churn Pro</t>
        </is>
      </c>
      <c r="B21" s="5" t="n">
        <v>0.04</v>
      </c>
    </row>
    <row r="22">
      <c r="A22" t="inlineStr">
        <is>
          <t>Churn Pro+</t>
        </is>
      </c>
      <c r="B22" s="5" t="n">
        <v>0.03</v>
      </c>
    </row>
    <row r="23">
      <c r="A23" t="inlineStr">
        <is>
          <t>Churn Family</t>
        </is>
      </c>
      <c r="B23" s="5" t="n">
        <v>0.02</v>
      </c>
    </row>
    <row r="25">
      <c r="A25" s="2" t="inlineStr">
        <is>
          <t>MONTHLY FIXED COSTS (MXN)</t>
        </is>
      </c>
      <c r="B25" s="4" t="n"/>
    </row>
    <row r="26">
      <c r="A26" t="inlineStr">
        <is>
          <t>Month 1-6</t>
        </is>
      </c>
      <c r="B26" s="3" t="n">
        <v>6000</v>
      </c>
    </row>
    <row r="27">
      <c r="A27" t="inlineStr">
        <is>
          <t>Month 7-12</t>
        </is>
      </c>
      <c r="B27" s="3" t="n">
        <v>8000</v>
      </c>
    </row>
    <row r="28">
      <c r="A28" t="inlineStr">
        <is>
          <t>Month 13-24</t>
        </is>
      </c>
      <c r="B28" s="3" t="n">
        <v>20000</v>
      </c>
    </row>
    <row r="30">
      <c r="A30" s="2" t="inlineStr">
        <is>
          <t>NEW USERS PER MONTH</t>
        </is>
      </c>
      <c r="B30" s="2" t="inlineStr">
        <is>
          <t>Pro</t>
        </is>
      </c>
      <c r="C30" s="2" t="inlineStr">
        <is>
          <t>Pro+</t>
        </is>
      </c>
      <c r="D30" s="2" t="inlineStr">
        <is>
          <t>Family</t>
        </is>
      </c>
    </row>
    <row r="31">
      <c r="A31" t="inlineStr">
        <is>
          <t>Month 1-6</t>
        </is>
      </c>
      <c r="B31" s="3" t="n">
        <v>25</v>
      </c>
      <c r="C31" s="3" t="n">
        <v>5</v>
      </c>
      <c r="D31" s="3" t="n">
        <v>2</v>
      </c>
    </row>
    <row r="32">
      <c r="A32" t="inlineStr">
        <is>
          <t>Month 7-12</t>
        </is>
      </c>
      <c r="B32" s="3" t="n">
        <v>50</v>
      </c>
      <c r="C32" s="3" t="n">
        <v>15</v>
      </c>
      <c r="D32" s="3" t="n">
        <v>5</v>
      </c>
    </row>
    <row r="33">
      <c r="A33" t="inlineStr">
        <is>
          <t>Month 13-24</t>
        </is>
      </c>
      <c r="B33" s="3" t="n">
        <v>100</v>
      </c>
      <c r="C33" s="3" t="n">
        <v>30</v>
      </c>
      <c r="D33" s="3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Month</t>
        </is>
      </c>
      <c r="B1" s="6" t="inlineStr">
        <is>
          <t>New Pro</t>
        </is>
      </c>
      <c r="C1" s="6" t="inlineStr">
        <is>
          <t>Active Pro</t>
        </is>
      </c>
      <c r="D1" s="6" t="inlineStr">
        <is>
          <t>New Pro+</t>
        </is>
      </c>
      <c r="E1" s="6" t="inlineStr">
        <is>
          <t>Active Pro+</t>
        </is>
      </c>
      <c r="F1" s="6" t="inlineStr">
        <is>
          <t>New Family</t>
        </is>
      </c>
      <c r="G1" s="6" t="inlineStr">
        <is>
          <t>Active Family</t>
        </is>
      </c>
      <c r="H1" s="6" t="inlineStr">
        <is>
          <t>Total Active</t>
        </is>
      </c>
    </row>
    <row r="2">
      <c r="A2" t="n">
        <v>1</v>
      </c>
      <c r="B2">
        <f>IF(A2&lt;=6, Assumptions!$B$31, IF(A2&lt;=12, Assumptions!$B$32, Assumptions!$B$33))</f>
        <v/>
      </c>
      <c r="C2" s="7">
        <f>B2</f>
        <v/>
      </c>
      <c r="D2">
        <f>IF(A2&lt;=6, Assumptions!$C$31, IF(A2&lt;=12, Assumptions!$C$32, Assumptions!$C$33))</f>
        <v/>
      </c>
      <c r="E2" s="7">
        <f>D2</f>
        <v/>
      </c>
      <c r="F2">
        <f>IF(A2&lt;=6, Assumptions!$D$31, IF(A2&lt;=12, Assumptions!$D$32, Assumptions!$D$33))</f>
        <v/>
      </c>
      <c r="G2" s="7">
        <f>F2</f>
        <v/>
      </c>
      <c r="H2" s="7">
        <f>C2+E2+G2</f>
        <v/>
      </c>
    </row>
    <row r="3">
      <c r="A3" t="n">
        <v>2</v>
      </c>
      <c r="B3">
        <f>IF(A3&lt;=6, Assumptions!$B$31, IF(A3&lt;=12, Assumptions!$B$32, Assumptions!$B$33))</f>
        <v/>
      </c>
      <c r="C3" s="7">
        <f>C2*(1-ChurnPro)+B3</f>
        <v/>
      </c>
      <c r="D3">
        <f>IF(A3&lt;=6, Assumptions!$C$31, IF(A3&lt;=12, Assumptions!$C$32, Assumptions!$C$33))</f>
        <v/>
      </c>
      <c r="E3" s="7">
        <f>E2*(1-ChurnProPlus)+D3</f>
        <v/>
      </c>
      <c r="F3">
        <f>IF(A3&lt;=6, Assumptions!$D$31, IF(A3&lt;=12, Assumptions!$D$32, Assumptions!$D$33))</f>
        <v/>
      </c>
      <c r="G3" s="7">
        <f>G2*(1-ChurnFamily)+F3</f>
        <v/>
      </c>
      <c r="H3" s="7">
        <f>C3+E3+G3</f>
        <v/>
      </c>
    </row>
    <row r="4">
      <c r="A4" t="n">
        <v>3</v>
      </c>
      <c r="B4">
        <f>IF(A4&lt;=6, Assumptions!$B$31, IF(A4&lt;=12, Assumptions!$B$32, Assumptions!$B$33))</f>
        <v/>
      </c>
      <c r="C4" s="7">
        <f>C3*(1-ChurnPro)+B4</f>
        <v/>
      </c>
      <c r="D4">
        <f>IF(A4&lt;=6, Assumptions!$C$31, IF(A4&lt;=12, Assumptions!$C$32, Assumptions!$C$33))</f>
        <v/>
      </c>
      <c r="E4" s="7">
        <f>E3*(1-ChurnProPlus)+D4</f>
        <v/>
      </c>
      <c r="F4">
        <f>IF(A4&lt;=6, Assumptions!$D$31, IF(A4&lt;=12, Assumptions!$D$32, Assumptions!$D$33))</f>
        <v/>
      </c>
      <c r="G4" s="7">
        <f>G3*(1-ChurnFamily)+F4</f>
        <v/>
      </c>
      <c r="H4" s="7">
        <f>C4+E4+G4</f>
        <v/>
      </c>
    </row>
    <row r="5">
      <c r="A5" t="n">
        <v>4</v>
      </c>
      <c r="B5">
        <f>IF(A5&lt;=6, Assumptions!$B$31, IF(A5&lt;=12, Assumptions!$B$32, Assumptions!$B$33))</f>
        <v/>
      </c>
      <c r="C5" s="7">
        <f>C4*(1-ChurnPro)+B5</f>
        <v/>
      </c>
      <c r="D5">
        <f>IF(A5&lt;=6, Assumptions!$C$31, IF(A5&lt;=12, Assumptions!$C$32, Assumptions!$C$33))</f>
        <v/>
      </c>
      <c r="E5" s="7">
        <f>E4*(1-ChurnProPlus)+D5</f>
        <v/>
      </c>
      <c r="F5">
        <f>IF(A5&lt;=6, Assumptions!$D$31, IF(A5&lt;=12, Assumptions!$D$32, Assumptions!$D$33))</f>
        <v/>
      </c>
      <c r="G5" s="7">
        <f>G4*(1-ChurnFamily)+F5</f>
        <v/>
      </c>
      <c r="H5" s="7">
        <f>C5+E5+G5</f>
        <v/>
      </c>
    </row>
    <row r="6">
      <c r="A6" t="n">
        <v>5</v>
      </c>
      <c r="B6">
        <f>IF(A6&lt;=6, Assumptions!$B$31, IF(A6&lt;=12, Assumptions!$B$32, Assumptions!$B$33))</f>
        <v/>
      </c>
      <c r="C6" s="7">
        <f>C5*(1-ChurnPro)+B6</f>
        <v/>
      </c>
      <c r="D6">
        <f>IF(A6&lt;=6, Assumptions!$C$31, IF(A6&lt;=12, Assumptions!$C$32, Assumptions!$C$33))</f>
        <v/>
      </c>
      <c r="E6" s="7">
        <f>E5*(1-ChurnProPlus)+D6</f>
        <v/>
      </c>
      <c r="F6">
        <f>IF(A6&lt;=6, Assumptions!$D$31, IF(A6&lt;=12, Assumptions!$D$32, Assumptions!$D$33))</f>
        <v/>
      </c>
      <c r="G6" s="7">
        <f>G5*(1-ChurnFamily)+F6</f>
        <v/>
      </c>
      <c r="H6" s="7">
        <f>C6+E6+G6</f>
        <v/>
      </c>
    </row>
    <row r="7">
      <c r="A7" t="n">
        <v>6</v>
      </c>
      <c r="B7">
        <f>IF(A7&lt;=6, Assumptions!$B$31, IF(A7&lt;=12, Assumptions!$B$32, Assumptions!$B$33))</f>
        <v/>
      </c>
      <c r="C7" s="7">
        <f>C6*(1-ChurnPro)+B7</f>
        <v/>
      </c>
      <c r="D7">
        <f>IF(A7&lt;=6, Assumptions!$C$31, IF(A7&lt;=12, Assumptions!$C$32, Assumptions!$C$33))</f>
        <v/>
      </c>
      <c r="E7" s="7">
        <f>E6*(1-ChurnProPlus)+D7</f>
        <v/>
      </c>
      <c r="F7">
        <f>IF(A7&lt;=6, Assumptions!$D$31, IF(A7&lt;=12, Assumptions!$D$32, Assumptions!$D$33))</f>
        <v/>
      </c>
      <c r="G7" s="7">
        <f>G6*(1-ChurnFamily)+F7</f>
        <v/>
      </c>
      <c r="H7" s="7">
        <f>C7+E7+G7</f>
        <v/>
      </c>
    </row>
    <row r="8">
      <c r="A8" t="n">
        <v>7</v>
      </c>
      <c r="B8">
        <f>IF(A8&lt;=6, Assumptions!$B$31, IF(A8&lt;=12, Assumptions!$B$32, Assumptions!$B$33))</f>
        <v/>
      </c>
      <c r="C8" s="7">
        <f>C7*(1-ChurnPro)+B8</f>
        <v/>
      </c>
      <c r="D8">
        <f>IF(A8&lt;=6, Assumptions!$C$31, IF(A8&lt;=12, Assumptions!$C$32, Assumptions!$C$33))</f>
        <v/>
      </c>
      <c r="E8" s="7">
        <f>E7*(1-ChurnProPlus)+D8</f>
        <v/>
      </c>
      <c r="F8">
        <f>IF(A8&lt;=6, Assumptions!$D$31, IF(A8&lt;=12, Assumptions!$D$32, Assumptions!$D$33))</f>
        <v/>
      </c>
      <c r="G8" s="7">
        <f>G7*(1-ChurnFamily)+F8</f>
        <v/>
      </c>
      <c r="H8" s="7">
        <f>C8+E8+G8</f>
        <v/>
      </c>
    </row>
    <row r="9">
      <c r="A9" t="n">
        <v>8</v>
      </c>
      <c r="B9">
        <f>IF(A9&lt;=6, Assumptions!$B$31, IF(A9&lt;=12, Assumptions!$B$32, Assumptions!$B$33))</f>
        <v/>
      </c>
      <c r="C9" s="7">
        <f>C8*(1-ChurnPro)+B9</f>
        <v/>
      </c>
      <c r="D9">
        <f>IF(A9&lt;=6, Assumptions!$C$31, IF(A9&lt;=12, Assumptions!$C$32, Assumptions!$C$33))</f>
        <v/>
      </c>
      <c r="E9" s="7">
        <f>E8*(1-ChurnProPlus)+D9</f>
        <v/>
      </c>
      <c r="F9">
        <f>IF(A9&lt;=6, Assumptions!$D$31, IF(A9&lt;=12, Assumptions!$D$32, Assumptions!$D$33))</f>
        <v/>
      </c>
      <c r="G9" s="7">
        <f>G8*(1-ChurnFamily)+F9</f>
        <v/>
      </c>
      <c r="H9" s="7">
        <f>C9+E9+G9</f>
        <v/>
      </c>
    </row>
    <row r="10">
      <c r="A10" t="n">
        <v>9</v>
      </c>
      <c r="B10">
        <f>IF(A10&lt;=6, Assumptions!$B$31, IF(A10&lt;=12, Assumptions!$B$32, Assumptions!$B$33))</f>
        <v/>
      </c>
      <c r="C10" s="7">
        <f>C9*(1-ChurnPro)+B10</f>
        <v/>
      </c>
      <c r="D10">
        <f>IF(A10&lt;=6, Assumptions!$C$31, IF(A10&lt;=12, Assumptions!$C$32, Assumptions!$C$33))</f>
        <v/>
      </c>
      <c r="E10" s="7">
        <f>E9*(1-ChurnProPlus)+D10</f>
        <v/>
      </c>
      <c r="F10">
        <f>IF(A10&lt;=6, Assumptions!$D$31, IF(A10&lt;=12, Assumptions!$D$32, Assumptions!$D$33))</f>
        <v/>
      </c>
      <c r="G10" s="7">
        <f>G9*(1-ChurnFamily)+F10</f>
        <v/>
      </c>
      <c r="H10" s="7">
        <f>C10+E10+G10</f>
        <v/>
      </c>
    </row>
    <row r="11">
      <c r="A11" t="n">
        <v>10</v>
      </c>
      <c r="B11">
        <f>IF(A11&lt;=6, Assumptions!$B$31, IF(A11&lt;=12, Assumptions!$B$32, Assumptions!$B$33))</f>
        <v/>
      </c>
      <c r="C11" s="7">
        <f>C10*(1-ChurnPro)+B11</f>
        <v/>
      </c>
      <c r="D11">
        <f>IF(A11&lt;=6, Assumptions!$C$31, IF(A11&lt;=12, Assumptions!$C$32, Assumptions!$C$33))</f>
        <v/>
      </c>
      <c r="E11" s="7">
        <f>E10*(1-ChurnProPlus)+D11</f>
        <v/>
      </c>
      <c r="F11">
        <f>IF(A11&lt;=6, Assumptions!$D$31, IF(A11&lt;=12, Assumptions!$D$32, Assumptions!$D$33))</f>
        <v/>
      </c>
      <c r="G11" s="7">
        <f>G10*(1-ChurnFamily)+F11</f>
        <v/>
      </c>
      <c r="H11" s="7">
        <f>C11+E11+G11</f>
        <v/>
      </c>
    </row>
    <row r="12">
      <c r="A12" t="n">
        <v>11</v>
      </c>
      <c r="B12">
        <f>IF(A12&lt;=6, Assumptions!$B$31, IF(A12&lt;=12, Assumptions!$B$32, Assumptions!$B$33))</f>
        <v/>
      </c>
      <c r="C12" s="7">
        <f>C11*(1-ChurnPro)+B12</f>
        <v/>
      </c>
      <c r="D12">
        <f>IF(A12&lt;=6, Assumptions!$C$31, IF(A12&lt;=12, Assumptions!$C$32, Assumptions!$C$33))</f>
        <v/>
      </c>
      <c r="E12" s="7">
        <f>E11*(1-ChurnProPlus)+D12</f>
        <v/>
      </c>
      <c r="F12">
        <f>IF(A12&lt;=6, Assumptions!$D$31, IF(A12&lt;=12, Assumptions!$D$32, Assumptions!$D$33))</f>
        <v/>
      </c>
      <c r="G12" s="7">
        <f>G11*(1-ChurnFamily)+F12</f>
        <v/>
      </c>
      <c r="H12" s="7">
        <f>C12+E12+G12</f>
        <v/>
      </c>
    </row>
    <row r="13">
      <c r="A13" t="n">
        <v>12</v>
      </c>
      <c r="B13">
        <f>IF(A13&lt;=6, Assumptions!$B$31, IF(A13&lt;=12, Assumptions!$B$32, Assumptions!$B$33))</f>
        <v/>
      </c>
      <c r="C13" s="7">
        <f>C12*(1-ChurnPro)+B13</f>
        <v/>
      </c>
      <c r="D13">
        <f>IF(A13&lt;=6, Assumptions!$C$31, IF(A13&lt;=12, Assumptions!$C$32, Assumptions!$C$33))</f>
        <v/>
      </c>
      <c r="E13" s="7">
        <f>E12*(1-ChurnProPlus)+D13</f>
        <v/>
      </c>
      <c r="F13">
        <f>IF(A13&lt;=6, Assumptions!$D$31, IF(A13&lt;=12, Assumptions!$D$32, Assumptions!$D$33))</f>
        <v/>
      </c>
      <c r="G13" s="7">
        <f>G12*(1-ChurnFamily)+F13</f>
        <v/>
      </c>
      <c r="H13" s="7">
        <f>C13+E13+G13</f>
        <v/>
      </c>
    </row>
    <row r="14">
      <c r="A14" t="n">
        <v>13</v>
      </c>
      <c r="B14">
        <f>IF(A14&lt;=6, Assumptions!$B$31, IF(A14&lt;=12, Assumptions!$B$32, Assumptions!$B$33))</f>
        <v/>
      </c>
      <c r="C14" s="7">
        <f>C13*(1-ChurnPro)+B14</f>
        <v/>
      </c>
      <c r="D14">
        <f>IF(A14&lt;=6, Assumptions!$C$31, IF(A14&lt;=12, Assumptions!$C$32, Assumptions!$C$33))</f>
        <v/>
      </c>
      <c r="E14" s="7">
        <f>E13*(1-ChurnProPlus)+D14</f>
        <v/>
      </c>
      <c r="F14">
        <f>IF(A14&lt;=6, Assumptions!$D$31, IF(A14&lt;=12, Assumptions!$D$32, Assumptions!$D$33))</f>
        <v/>
      </c>
      <c r="G14" s="7">
        <f>G13*(1-ChurnFamily)+F14</f>
        <v/>
      </c>
      <c r="H14" s="7">
        <f>C14+E14+G14</f>
        <v/>
      </c>
    </row>
    <row r="15">
      <c r="A15" t="n">
        <v>14</v>
      </c>
      <c r="B15">
        <f>IF(A15&lt;=6, Assumptions!$B$31, IF(A15&lt;=12, Assumptions!$B$32, Assumptions!$B$33))</f>
        <v/>
      </c>
      <c r="C15" s="7">
        <f>C14*(1-ChurnPro)+B15</f>
        <v/>
      </c>
      <c r="D15">
        <f>IF(A15&lt;=6, Assumptions!$C$31, IF(A15&lt;=12, Assumptions!$C$32, Assumptions!$C$33))</f>
        <v/>
      </c>
      <c r="E15" s="7">
        <f>E14*(1-ChurnProPlus)+D15</f>
        <v/>
      </c>
      <c r="F15">
        <f>IF(A15&lt;=6, Assumptions!$D$31, IF(A15&lt;=12, Assumptions!$D$32, Assumptions!$D$33))</f>
        <v/>
      </c>
      <c r="G15" s="7">
        <f>G14*(1-ChurnFamily)+F15</f>
        <v/>
      </c>
      <c r="H15" s="7">
        <f>C15+E15+G15</f>
        <v/>
      </c>
    </row>
    <row r="16">
      <c r="A16" t="n">
        <v>15</v>
      </c>
      <c r="B16">
        <f>IF(A16&lt;=6, Assumptions!$B$31, IF(A16&lt;=12, Assumptions!$B$32, Assumptions!$B$33))</f>
        <v/>
      </c>
      <c r="C16" s="7">
        <f>C15*(1-ChurnPro)+B16</f>
        <v/>
      </c>
      <c r="D16">
        <f>IF(A16&lt;=6, Assumptions!$C$31, IF(A16&lt;=12, Assumptions!$C$32, Assumptions!$C$33))</f>
        <v/>
      </c>
      <c r="E16" s="7">
        <f>E15*(1-ChurnProPlus)+D16</f>
        <v/>
      </c>
      <c r="F16">
        <f>IF(A16&lt;=6, Assumptions!$D$31, IF(A16&lt;=12, Assumptions!$D$32, Assumptions!$D$33))</f>
        <v/>
      </c>
      <c r="G16" s="7">
        <f>G15*(1-ChurnFamily)+F16</f>
        <v/>
      </c>
      <c r="H16" s="7">
        <f>C16+E16+G16</f>
        <v/>
      </c>
    </row>
    <row r="17">
      <c r="A17" t="n">
        <v>16</v>
      </c>
      <c r="B17">
        <f>IF(A17&lt;=6, Assumptions!$B$31, IF(A17&lt;=12, Assumptions!$B$32, Assumptions!$B$33))</f>
        <v/>
      </c>
      <c r="C17" s="7">
        <f>C16*(1-ChurnPro)+B17</f>
        <v/>
      </c>
      <c r="D17">
        <f>IF(A17&lt;=6, Assumptions!$C$31, IF(A17&lt;=12, Assumptions!$C$32, Assumptions!$C$33))</f>
        <v/>
      </c>
      <c r="E17" s="7">
        <f>E16*(1-ChurnProPlus)+D17</f>
        <v/>
      </c>
      <c r="F17">
        <f>IF(A17&lt;=6, Assumptions!$D$31, IF(A17&lt;=12, Assumptions!$D$32, Assumptions!$D$33))</f>
        <v/>
      </c>
      <c r="G17" s="7">
        <f>G16*(1-ChurnFamily)+F17</f>
        <v/>
      </c>
      <c r="H17" s="7">
        <f>C17+E17+G17</f>
        <v/>
      </c>
    </row>
    <row r="18">
      <c r="A18" t="n">
        <v>17</v>
      </c>
      <c r="B18">
        <f>IF(A18&lt;=6, Assumptions!$B$31, IF(A18&lt;=12, Assumptions!$B$32, Assumptions!$B$33))</f>
        <v/>
      </c>
      <c r="C18" s="7">
        <f>C17*(1-ChurnPro)+B18</f>
        <v/>
      </c>
      <c r="D18">
        <f>IF(A18&lt;=6, Assumptions!$C$31, IF(A18&lt;=12, Assumptions!$C$32, Assumptions!$C$33))</f>
        <v/>
      </c>
      <c r="E18" s="7">
        <f>E17*(1-ChurnProPlus)+D18</f>
        <v/>
      </c>
      <c r="F18">
        <f>IF(A18&lt;=6, Assumptions!$D$31, IF(A18&lt;=12, Assumptions!$D$32, Assumptions!$D$33))</f>
        <v/>
      </c>
      <c r="G18" s="7">
        <f>G17*(1-ChurnFamily)+F18</f>
        <v/>
      </c>
      <c r="H18" s="7">
        <f>C18+E18+G18</f>
        <v/>
      </c>
    </row>
    <row r="19">
      <c r="A19" t="n">
        <v>18</v>
      </c>
      <c r="B19">
        <f>IF(A19&lt;=6, Assumptions!$B$31, IF(A19&lt;=12, Assumptions!$B$32, Assumptions!$B$33))</f>
        <v/>
      </c>
      <c r="C19" s="7">
        <f>C18*(1-ChurnPro)+B19</f>
        <v/>
      </c>
      <c r="D19">
        <f>IF(A19&lt;=6, Assumptions!$C$31, IF(A19&lt;=12, Assumptions!$C$32, Assumptions!$C$33))</f>
        <v/>
      </c>
      <c r="E19" s="7">
        <f>E18*(1-ChurnProPlus)+D19</f>
        <v/>
      </c>
      <c r="F19">
        <f>IF(A19&lt;=6, Assumptions!$D$31, IF(A19&lt;=12, Assumptions!$D$32, Assumptions!$D$33))</f>
        <v/>
      </c>
      <c r="G19" s="7">
        <f>G18*(1-ChurnFamily)+F19</f>
        <v/>
      </c>
      <c r="H19" s="7">
        <f>C19+E19+G19</f>
        <v/>
      </c>
    </row>
    <row r="20">
      <c r="A20" t="n">
        <v>19</v>
      </c>
      <c r="B20">
        <f>IF(A20&lt;=6, Assumptions!$B$31, IF(A20&lt;=12, Assumptions!$B$32, Assumptions!$B$33))</f>
        <v/>
      </c>
      <c r="C20" s="7">
        <f>C19*(1-ChurnPro)+B20</f>
        <v/>
      </c>
      <c r="D20">
        <f>IF(A20&lt;=6, Assumptions!$C$31, IF(A20&lt;=12, Assumptions!$C$32, Assumptions!$C$33))</f>
        <v/>
      </c>
      <c r="E20" s="7">
        <f>E19*(1-ChurnProPlus)+D20</f>
        <v/>
      </c>
      <c r="F20">
        <f>IF(A20&lt;=6, Assumptions!$D$31, IF(A20&lt;=12, Assumptions!$D$32, Assumptions!$D$33))</f>
        <v/>
      </c>
      <c r="G20" s="7">
        <f>G19*(1-ChurnFamily)+F20</f>
        <v/>
      </c>
      <c r="H20" s="7">
        <f>C20+E20+G20</f>
        <v/>
      </c>
    </row>
    <row r="21">
      <c r="A21" t="n">
        <v>20</v>
      </c>
      <c r="B21">
        <f>IF(A21&lt;=6, Assumptions!$B$31, IF(A21&lt;=12, Assumptions!$B$32, Assumptions!$B$33))</f>
        <v/>
      </c>
      <c r="C21" s="7">
        <f>C20*(1-ChurnPro)+B21</f>
        <v/>
      </c>
      <c r="D21">
        <f>IF(A21&lt;=6, Assumptions!$C$31, IF(A21&lt;=12, Assumptions!$C$32, Assumptions!$C$33))</f>
        <v/>
      </c>
      <c r="E21" s="7">
        <f>E20*(1-ChurnProPlus)+D21</f>
        <v/>
      </c>
      <c r="F21">
        <f>IF(A21&lt;=6, Assumptions!$D$31, IF(A21&lt;=12, Assumptions!$D$32, Assumptions!$D$33))</f>
        <v/>
      </c>
      <c r="G21" s="7">
        <f>G20*(1-ChurnFamily)+F21</f>
        <v/>
      </c>
      <c r="H21" s="7">
        <f>C21+E21+G21</f>
        <v/>
      </c>
    </row>
    <row r="22">
      <c r="A22" t="n">
        <v>21</v>
      </c>
      <c r="B22">
        <f>IF(A22&lt;=6, Assumptions!$B$31, IF(A22&lt;=12, Assumptions!$B$32, Assumptions!$B$33))</f>
        <v/>
      </c>
      <c r="C22" s="7">
        <f>C21*(1-ChurnPro)+B22</f>
        <v/>
      </c>
      <c r="D22">
        <f>IF(A22&lt;=6, Assumptions!$C$31, IF(A22&lt;=12, Assumptions!$C$32, Assumptions!$C$33))</f>
        <v/>
      </c>
      <c r="E22" s="7">
        <f>E21*(1-ChurnProPlus)+D22</f>
        <v/>
      </c>
      <c r="F22">
        <f>IF(A22&lt;=6, Assumptions!$D$31, IF(A22&lt;=12, Assumptions!$D$32, Assumptions!$D$33))</f>
        <v/>
      </c>
      <c r="G22" s="7">
        <f>G21*(1-ChurnFamily)+F22</f>
        <v/>
      </c>
      <c r="H22" s="7">
        <f>C22+E22+G22</f>
        <v/>
      </c>
    </row>
    <row r="23">
      <c r="A23" t="n">
        <v>22</v>
      </c>
      <c r="B23">
        <f>IF(A23&lt;=6, Assumptions!$B$31, IF(A23&lt;=12, Assumptions!$B$32, Assumptions!$B$33))</f>
        <v/>
      </c>
      <c r="C23" s="7">
        <f>C22*(1-ChurnPro)+B23</f>
        <v/>
      </c>
      <c r="D23">
        <f>IF(A23&lt;=6, Assumptions!$C$31, IF(A23&lt;=12, Assumptions!$C$32, Assumptions!$C$33))</f>
        <v/>
      </c>
      <c r="E23" s="7">
        <f>E22*(1-ChurnProPlus)+D23</f>
        <v/>
      </c>
      <c r="F23">
        <f>IF(A23&lt;=6, Assumptions!$D$31, IF(A23&lt;=12, Assumptions!$D$32, Assumptions!$D$33))</f>
        <v/>
      </c>
      <c r="G23" s="7">
        <f>G22*(1-ChurnFamily)+F23</f>
        <v/>
      </c>
      <c r="H23" s="7">
        <f>C23+E23+G23</f>
        <v/>
      </c>
    </row>
    <row r="24">
      <c r="A24" t="n">
        <v>23</v>
      </c>
      <c r="B24">
        <f>IF(A24&lt;=6, Assumptions!$B$31, IF(A24&lt;=12, Assumptions!$B$32, Assumptions!$B$33))</f>
        <v/>
      </c>
      <c r="C24" s="7">
        <f>C23*(1-ChurnPro)+B24</f>
        <v/>
      </c>
      <c r="D24">
        <f>IF(A24&lt;=6, Assumptions!$C$31, IF(A24&lt;=12, Assumptions!$C$32, Assumptions!$C$33))</f>
        <v/>
      </c>
      <c r="E24" s="7">
        <f>E23*(1-ChurnProPlus)+D24</f>
        <v/>
      </c>
      <c r="F24">
        <f>IF(A24&lt;=6, Assumptions!$D$31, IF(A24&lt;=12, Assumptions!$D$32, Assumptions!$D$33))</f>
        <v/>
      </c>
      <c r="G24" s="7">
        <f>G23*(1-ChurnFamily)+F24</f>
        <v/>
      </c>
      <c r="H24" s="7">
        <f>C24+E24+G24</f>
        <v/>
      </c>
    </row>
    <row r="25">
      <c r="A25" t="n">
        <v>24</v>
      </c>
      <c r="B25">
        <f>IF(A25&lt;=6, Assumptions!$B$31, IF(A25&lt;=12, Assumptions!$B$32, Assumptions!$B$33))</f>
        <v/>
      </c>
      <c r="C25" s="7">
        <f>C24*(1-ChurnPro)+B25</f>
        <v/>
      </c>
      <c r="D25">
        <f>IF(A25&lt;=6, Assumptions!$C$31, IF(A25&lt;=12, Assumptions!$C$32, Assumptions!$C$33))</f>
        <v/>
      </c>
      <c r="E25" s="7">
        <f>E24*(1-ChurnProPlus)+D25</f>
        <v/>
      </c>
      <c r="F25">
        <f>IF(A25&lt;=6, Assumptions!$D$31, IF(A25&lt;=12, Assumptions!$D$32, Assumptions!$D$33))</f>
        <v/>
      </c>
      <c r="G25" s="7">
        <f>G24*(1-ChurnFamily)+F25</f>
        <v/>
      </c>
      <c r="H25" s="7">
        <f>C25+E25+G25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Month</t>
        </is>
      </c>
      <c r="B1" s="6" t="inlineStr">
        <is>
          <t>MRR Pro</t>
        </is>
      </c>
      <c r="C1" s="6" t="inlineStr">
        <is>
          <t>MRR Pro+</t>
        </is>
      </c>
      <c r="D1" s="6" t="inlineStr">
        <is>
          <t>MRR Family</t>
        </is>
      </c>
      <c r="E1" s="6" t="inlineStr">
        <is>
          <t>MRR Total</t>
        </is>
      </c>
      <c r="F1" s="6" t="inlineStr">
        <is>
          <t>Gross Margin</t>
        </is>
      </c>
      <c r="G1" s="6" t="inlineStr">
        <is>
          <t>Fixed Costs</t>
        </is>
      </c>
      <c r="H1" s="6" t="inlineStr">
        <is>
          <t>Net Profit</t>
        </is>
      </c>
      <c r="I1" s="6" t="inlineStr">
        <is>
          <t>Margin %</t>
        </is>
      </c>
    </row>
    <row r="2">
      <c r="A2" t="n">
        <v>1</v>
      </c>
      <c r="B2" s="8">
        <f>'User Growth'!C2*PrecioPro</f>
        <v/>
      </c>
      <c r="C2" s="8">
        <f>'User Growth'!E2*PrecioProPlus</f>
        <v/>
      </c>
      <c r="D2" s="8">
        <f>'User Growth'!G2*PrecioFamily</f>
        <v/>
      </c>
      <c r="E2" s="8">
        <f>B2+C2+D2</f>
        <v/>
      </c>
      <c r="F2" s="8">
        <f>B2*MarginPro+C2*MarginProPlus+D2*MarginFamily</f>
        <v/>
      </c>
      <c r="G2" s="8">
        <f>IF(A2&lt;=6,Assumptions!$B$26,IF(A2&lt;=12,Assumptions!$B$27,Assumptions!$B$28))</f>
        <v/>
      </c>
      <c r="H2" s="8">
        <f>F2-G2</f>
        <v/>
      </c>
      <c r="I2" s="9">
        <f>IF(E2&gt;0,H2/E2,0)</f>
        <v/>
      </c>
    </row>
    <row r="3">
      <c r="A3" t="n">
        <v>2</v>
      </c>
      <c r="B3" s="8">
        <f>'User Growth'!C3*PrecioPro</f>
        <v/>
      </c>
      <c r="C3" s="8">
        <f>'User Growth'!E3*PrecioProPlus</f>
        <v/>
      </c>
      <c r="D3" s="8">
        <f>'User Growth'!G3*PrecioFamily</f>
        <v/>
      </c>
      <c r="E3" s="8">
        <f>B3+C3+D3</f>
        <v/>
      </c>
      <c r="F3" s="8">
        <f>B3*MarginPro+C3*MarginProPlus+D3*MarginFamily</f>
        <v/>
      </c>
      <c r="G3" s="8">
        <f>IF(A3&lt;=6,Assumptions!$B$26,IF(A3&lt;=12,Assumptions!$B$27,Assumptions!$B$28))</f>
        <v/>
      </c>
      <c r="H3" s="8">
        <f>F3-G3</f>
        <v/>
      </c>
      <c r="I3" s="9">
        <f>IF(E3&gt;0,H3/E3,0)</f>
        <v/>
      </c>
    </row>
    <row r="4">
      <c r="A4" t="n">
        <v>3</v>
      </c>
      <c r="B4" s="8">
        <f>'User Growth'!C4*PrecioPro</f>
        <v/>
      </c>
      <c r="C4" s="8">
        <f>'User Growth'!E4*PrecioProPlus</f>
        <v/>
      </c>
      <c r="D4" s="8">
        <f>'User Growth'!G4*PrecioFamily</f>
        <v/>
      </c>
      <c r="E4" s="8">
        <f>B4+C4+D4</f>
        <v/>
      </c>
      <c r="F4" s="8">
        <f>B4*MarginPro+C4*MarginProPlus+D4*MarginFamily</f>
        <v/>
      </c>
      <c r="G4" s="8">
        <f>IF(A4&lt;=6,Assumptions!$B$26,IF(A4&lt;=12,Assumptions!$B$27,Assumptions!$B$28))</f>
        <v/>
      </c>
      <c r="H4" s="8">
        <f>F4-G4</f>
        <v/>
      </c>
      <c r="I4" s="9">
        <f>IF(E4&gt;0,H4/E4,0)</f>
        <v/>
      </c>
    </row>
    <row r="5">
      <c r="A5" t="n">
        <v>4</v>
      </c>
      <c r="B5" s="8">
        <f>'User Growth'!C5*PrecioPro</f>
        <v/>
      </c>
      <c r="C5" s="8">
        <f>'User Growth'!E5*PrecioProPlus</f>
        <v/>
      </c>
      <c r="D5" s="8">
        <f>'User Growth'!G5*PrecioFamily</f>
        <v/>
      </c>
      <c r="E5" s="8">
        <f>B5+C5+D5</f>
        <v/>
      </c>
      <c r="F5" s="8">
        <f>B5*MarginPro+C5*MarginProPlus+D5*MarginFamily</f>
        <v/>
      </c>
      <c r="G5" s="8">
        <f>IF(A5&lt;=6,Assumptions!$B$26,IF(A5&lt;=12,Assumptions!$B$27,Assumptions!$B$28))</f>
        <v/>
      </c>
      <c r="H5" s="8">
        <f>F5-G5</f>
        <v/>
      </c>
      <c r="I5" s="9">
        <f>IF(E5&gt;0,H5/E5,0)</f>
        <v/>
      </c>
    </row>
    <row r="6">
      <c r="A6" t="n">
        <v>5</v>
      </c>
      <c r="B6" s="8">
        <f>'User Growth'!C6*PrecioPro</f>
        <v/>
      </c>
      <c r="C6" s="8">
        <f>'User Growth'!E6*PrecioProPlus</f>
        <v/>
      </c>
      <c r="D6" s="8">
        <f>'User Growth'!G6*PrecioFamily</f>
        <v/>
      </c>
      <c r="E6" s="8">
        <f>B6+C6+D6</f>
        <v/>
      </c>
      <c r="F6" s="8">
        <f>B6*MarginPro+C6*MarginProPlus+D6*MarginFamily</f>
        <v/>
      </c>
      <c r="G6" s="8">
        <f>IF(A6&lt;=6,Assumptions!$B$26,IF(A6&lt;=12,Assumptions!$B$27,Assumptions!$B$28))</f>
        <v/>
      </c>
      <c r="H6" s="8">
        <f>F6-G6</f>
        <v/>
      </c>
      <c r="I6" s="9">
        <f>IF(E6&gt;0,H6/E6,0)</f>
        <v/>
      </c>
    </row>
    <row r="7">
      <c r="A7" t="n">
        <v>6</v>
      </c>
      <c r="B7" s="8">
        <f>'User Growth'!C7*PrecioPro</f>
        <v/>
      </c>
      <c r="C7" s="8">
        <f>'User Growth'!E7*PrecioProPlus</f>
        <v/>
      </c>
      <c r="D7" s="8">
        <f>'User Growth'!G7*PrecioFamily</f>
        <v/>
      </c>
      <c r="E7" s="8">
        <f>B7+C7+D7</f>
        <v/>
      </c>
      <c r="F7" s="8">
        <f>B7*MarginPro+C7*MarginProPlus+D7*MarginFamily</f>
        <v/>
      </c>
      <c r="G7" s="8">
        <f>IF(A7&lt;=6,Assumptions!$B$26,IF(A7&lt;=12,Assumptions!$B$27,Assumptions!$B$28))</f>
        <v/>
      </c>
      <c r="H7" s="8">
        <f>F7-G7</f>
        <v/>
      </c>
      <c r="I7" s="9">
        <f>IF(E7&gt;0,H7/E7,0)</f>
        <v/>
      </c>
    </row>
    <row r="8">
      <c r="A8" t="n">
        <v>7</v>
      </c>
      <c r="B8" s="8">
        <f>'User Growth'!C8*PrecioPro</f>
        <v/>
      </c>
      <c r="C8" s="8">
        <f>'User Growth'!E8*PrecioProPlus</f>
        <v/>
      </c>
      <c r="D8" s="8">
        <f>'User Growth'!G8*PrecioFamily</f>
        <v/>
      </c>
      <c r="E8" s="8">
        <f>B8+C8+D8</f>
        <v/>
      </c>
      <c r="F8" s="8">
        <f>B8*MarginPro+C8*MarginProPlus+D8*MarginFamily</f>
        <v/>
      </c>
      <c r="G8" s="8">
        <f>IF(A8&lt;=6,Assumptions!$B$26,IF(A8&lt;=12,Assumptions!$B$27,Assumptions!$B$28))</f>
        <v/>
      </c>
      <c r="H8" s="8">
        <f>F8-G8</f>
        <v/>
      </c>
      <c r="I8" s="9">
        <f>IF(E8&gt;0,H8/E8,0)</f>
        <v/>
      </c>
    </row>
    <row r="9">
      <c r="A9" t="n">
        <v>8</v>
      </c>
      <c r="B9" s="8">
        <f>'User Growth'!C9*PrecioPro</f>
        <v/>
      </c>
      <c r="C9" s="8">
        <f>'User Growth'!E9*PrecioProPlus</f>
        <v/>
      </c>
      <c r="D9" s="8">
        <f>'User Growth'!G9*PrecioFamily</f>
        <v/>
      </c>
      <c r="E9" s="8">
        <f>B9+C9+D9</f>
        <v/>
      </c>
      <c r="F9" s="8">
        <f>B9*MarginPro+C9*MarginProPlus+D9*MarginFamily</f>
        <v/>
      </c>
      <c r="G9" s="8">
        <f>IF(A9&lt;=6,Assumptions!$B$26,IF(A9&lt;=12,Assumptions!$B$27,Assumptions!$B$28))</f>
        <v/>
      </c>
      <c r="H9" s="8">
        <f>F9-G9</f>
        <v/>
      </c>
      <c r="I9" s="9">
        <f>IF(E9&gt;0,H9/E9,0)</f>
        <v/>
      </c>
    </row>
    <row r="10">
      <c r="A10" t="n">
        <v>9</v>
      </c>
      <c r="B10" s="8">
        <f>'User Growth'!C10*PrecioPro</f>
        <v/>
      </c>
      <c r="C10" s="8">
        <f>'User Growth'!E10*PrecioProPlus</f>
        <v/>
      </c>
      <c r="D10" s="8">
        <f>'User Growth'!G10*PrecioFamily</f>
        <v/>
      </c>
      <c r="E10" s="8">
        <f>B10+C10+D10</f>
        <v/>
      </c>
      <c r="F10" s="8">
        <f>B10*MarginPro+C10*MarginProPlus+D10*MarginFamily</f>
        <v/>
      </c>
      <c r="G10" s="8">
        <f>IF(A10&lt;=6,Assumptions!$B$26,IF(A10&lt;=12,Assumptions!$B$27,Assumptions!$B$28))</f>
        <v/>
      </c>
      <c r="H10" s="8">
        <f>F10-G10</f>
        <v/>
      </c>
      <c r="I10" s="9">
        <f>IF(E10&gt;0,H10/E10,0)</f>
        <v/>
      </c>
    </row>
    <row r="11">
      <c r="A11" t="n">
        <v>10</v>
      </c>
      <c r="B11" s="8">
        <f>'User Growth'!C11*PrecioPro</f>
        <v/>
      </c>
      <c r="C11" s="8">
        <f>'User Growth'!E11*PrecioProPlus</f>
        <v/>
      </c>
      <c r="D11" s="8">
        <f>'User Growth'!G11*PrecioFamily</f>
        <v/>
      </c>
      <c r="E11" s="8">
        <f>B11+C11+D11</f>
        <v/>
      </c>
      <c r="F11" s="8">
        <f>B11*MarginPro+C11*MarginProPlus+D11*MarginFamily</f>
        <v/>
      </c>
      <c r="G11" s="8">
        <f>IF(A11&lt;=6,Assumptions!$B$26,IF(A11&lt;=12,Assumptions!$B$27,Assumptions!$B$28))</f>
        <v/>
      </c>
      <c r="H11" s="8">
        <f>F11-G11</f>
        <v/>
      </c>
      <c r="I11" s="9">
        <f>IF(E11&gt;0,H11/E11,0)</f>
        <v/>
      </c>
    </row>
    <row r="12">
      <c r="A12" t="n">
        <v>11</v>
      </c>
      <c r="B12" s="8">
        <f>'User Growth'!C12*PrecioPro</f>
        <v/>
      </c>
      <c r="C12" s="8">
        <f>'User Growth'!E12*PrecioProPlus</f>
        <v/>
      </c>
      <c r="D12" s="8">
        <f>'User Growth'!G12*PrecioFamily</f>
        <v/>
      </c>
      <c r="E12" s="8">
        <f>B12+C12+D12</f>
        <v/>
      </c>
      <c r="F12" s="8">
        <f>B12*MarginPro+C12*MarginProPlus+D12*MarginFamily</f>
        <v/>
      </c>
      <c r="G12" s="8">
        <f>IF(A12&lt;=6,Assumptions!$B$26,IF(A12&lt;=12,Assumptions!$B$27,Assumptions!$B$28))</f>
        <v/>
      </c>
      <c r="H12" s="8">
        <f>F12-G12</f>
        <v/>
      </c>
      <c r="I12" s="9">
        <f>IF(E12&gt;0,H12/E12,0)</f>
        <v/>
      </c>
    </row>
    <row r="13">
      <c r="A13" t="n">
        <v>12</v>
      </c>
      <c r="B13" s="8">
        <f>'User Growth'!C13*PrecioPro</f>
        <v/>
      </c>
      <c r="C13" s="8">
        <f>'User Growth'!E13*PrecioProPlus</f>
        <v/>
      </c>
      <c r="D13" s="8">
        <f>'User Growth'!G13*PrecioFamily</f>
        <v/>
      </c>
      <c r="E13" s="8">
        <f>B13+C13+D13</f>
        <v/>
      </c>
      <c r="F13" s="8">
        <f>B13*MarginPro+C13*MarginProPlus+D13*MarginFamily</f>
        <v/>
      </c>
      <c r="G13" s="8">
        <f>IF(A13&lt;=6,Assumptions!$B$26,IF(A13&lt;=12,Assumptions!$B$27,Assumptions!$B$28))</f>
        <v/>
      </c>
      <c r="H13" s="8">
        <f>F13-G13</f>
        <v/>
      </c>
      <c r="I13" s="9">
        <f>IF(E13&gt;0,H13/E13,0)</f>
        <v/>
      </c>
    </row>
    <row r="14">
      <c r="A14" t="n">
        <v>13</v>
      </c>
      <c r="B14" s="8">
        <f>'User Growth'!C14*PrecioPro</f>
        <v/>
      </c>
      <c r="C14" s="8">
        <f>'User Growth'!E14*PrecioProPlus</f>
        <v/>
      </c>
      <c r="D14" s="8">
        <f>'User Growth'!G14*PrecioFamily</f>
        <v/>
      </c>
      <c r="E14" s="8">
        <f>B14+C14+D14</f>
        <v/>
      </c>
      <c r="F14" s="8">
        <f>B14*MarginPro+C14*MarginProPlus+D14*MarginFamily</f>
        <v/>
      </c>
      <c r="G14" s="8">
        <f>IF(A14&lt;=6,Assumptions!$B$26,IF(A14&lt;=12,Assumptions!$B$27,Assumptions!$B$28))</f>
        <v/>
      </c>
      <c r="H14" s="8">
        <f>F14-G14</f>
        <v/>
      </c>
      <c r="I14" s="9">
        <f>IF(E14&gt;0,H14/E14,0)</f>
        <v/>
      </c>
    </row>
    <row r="15">
      <c r="A15" t="n">
        <v>14</v>
      </c>
      <c r="B15" s="8">
        <f>'User Growth'!C15*PrecioPro</f>
        <v/>
      </c>
      <c r="C15" s="8">
        <f>'User Growth'!E15*PrecioProPlus</f>
        <v/>
      </c>
      <c r="D15" s="8">
        <f>'User Growth'!G15*PrecioFamily</f>
        <v/>
      </c>
      <c r="E15" s="8">
        <f>B15+C15+D15</f>
        <v/>
      </c>
      <c r="F15" s="8">
        <f>B15*MarginPro+C15*MarginProPlus+D15*MarginFamily</f>
        <v/>
      </c>
      <c r="G15" s="8">
        <f>IF(A15&lt;=6,Assumptions!$B$26,IF(A15&lt;=12,Assumptions!$B$27,Assumptions!$B$28))</f>
        <v/>
      </c>
      <c r="H15" s="8">
        <f>F15-G15</f>
        <v/>
      </c>
      <c r="I15" s="9">
        <f>IF(E15&gt;0,H15/E15,0)</f>
        <v/>
      </c>
    </row>
    <row r="16">
      <c r="A16" t="n">
        <v>15</v>
      </c>
      <c r="B16" s="8">
        <f>'User Growth'!C16*PrecioPro</f>
        <v/>
      </c>
      <c r="C16" s="8">
        <f>'User Growth'!E16*PrecioProPlus</f>
        <v/>
      </c>
      <c r="D16" s="8">
        <f>'User Growth'!G16*PrecioFamily</f>
        <v/>
      </c>
      <c r="E16" s="8">
        <f>B16+C16+D16</f>
        <v/>
      </c>
      <c r="F16" s="8">
        <f>B16*MarginPro+C16*MarginProPlus+D16*MarginFamily</f>
        <v/>
      </c>
      <c r="G16" s="8">
        <f>IF(A16&lt;=6,Assumptions!$B$26,IF(A16&lt;=12,Assumptions!$B$27,Assumptions!$B$28))</f>
        <v/>
      </c>
      <c r="H16" s="8">
        <f>F16-G16</f>
        <v/>
      </c>
      <c r="I16" s="9">
        <f>IF(E16&gt;0,H16/E16,0)</f>
        <v/>
      </c>
    </row>
    <row r="17">
      <c r="A17" t="n">
        <v>16</v>
      </c>
      <c r="B17" s="8">
        <f>'User Growth'!C17*PrecioPro</f>
        <v/>
      </c>
      <c r="C17" s="8">
        <f>'User Growth'!E17*PrecioProPlus</f>
        <v/>
      </c>
      <c r="D17" s="8">
        <f>'User Growth'!G17*PrecioFamily</f>
        <v/>
      </c>
      <c r="E17" s="8">
        <f>B17+C17+D17</f>
        <v/>
      </c>
      <c r="F17" s="8">
        <f>B17*MarginPro+C17*MarginProPlus+D17*MarginFamily</f>
        <v/>
      </c>
      <c r="G17" s="8">
        <f>IF(A17&lt;=6,Assumptions!$B$26,IF(A17&lt;=12,Assumptions!$B$27,Assumptions!$B$28))</f>
        <v/>
      </c>
      <c r="H17" s="8">
        <f>F17-G17</f>
        <v/>
      </c>
      <c r="I17" s="9">
        <f>IF(E17&gt;0,H17/E17,0)</f>
        <v/>
      </c>
    </row>
    <row r="18">
      <c r="A18" t="n">
        <v>17</v>
      </c>
      <c r="B18" s="8">
        <f>'User Growth'!C18*PrecioPro</f>
        <v/>
      </c>
      <c r="C18" s="8">
        <f>'User Growth'!E18*PrecioProPlus</f>
        <v/>
      </c>
      <c r="D18" s="8">
        <f>'User Growth'!G18*PrecioFamily</f>
        <v/>
      </c>
      <c r="E18" s="8">
        <f>B18+C18+D18</f>
        <v/>
      </c>
      <c r="F18" s="8">
        <f>B18*MarginPro+C18*MarginProPlus+D18*MarginFamily</f>
        <v/>
      </c>
      <c r="G18" s="8">
        <f>IF(A18&lt;=6,Assumptions!$B$26,IF(A18&lt;=12,Assumptions!$B$27,Assumptions!$B$28))</f>
        <v/>
      </c>
      <c r="H18" s="8">
        <f>F18-G18</f>
        <v/>
      </c>
      <c r="I18" s="9">
        <f>IF(E18&gt;0,H18/E18,0)</f>
        <v/>
      </c>
    </row>
    <row r="19">
      <c r="A19" t="n">
        <v>18</v>
      </c>
      <c r="B19" s="8">
        <f>'User Growth'!C19*PrecioPro</f>
        <v/>
      </c>
      <c r="C19" s="8">
        <f>'User Growth'!E19*PrecioProPlus</f>
        <v/>
      </c>
      <c r="D19" s="8">
        <f>'User Growth'!G19*PrecioFamily</f>
        <v/>
      </c>
      <c r="E19" s="8">
        <f>B19+C19+D19</f>
        <v/>
      </c>
      <c r="F19" s="8">
        <f>B19*MarginPro+C19*MarginProPlus+D19*MarginFamily</f>
        <v/>
      </c>
      <c r="G19" s="8">
        <f>IF(A19&lt;=6,Assumptions!$B$26,IF(A19&lt;=12,Assumptions!$B$27,Assumptions!$B$28))</f>
        <v/>
      </c>
      <c r="H19" s="8">
        <f>F19-G19</f>
        <v/>
      </c>
      <c r="I19" s="9">
        <f>IF(E19&gt;0,H19/E19,0)</f>
        <v/>
      </c>
    </row>
    <row r="20">
      <c r="A20" t="n">
        <v>19</v>
      </c>
      <c r="B20" s="8">
        <f>'User Growth'!C20*PrecioPro</f>
        <v/>
      </c>
      <c r="C20" s="8">
        <f>'User Growth'!E20*PrecioProPlus</f>
        <v/>
      </c>
      <c r="D20" s="8">
        <f>'User Growth'!G20*PrecioFamily</f>
        <v/>
      </c>
      <c r="E20" s="8">
        <f>B20+C20+D20</f>
        <v/>
      </c>
      <c r="F20" s="8">
        <f>B20*MarginPro+C20*MarginProPlus+D20*MarginFamily</f>
        <v/>
      </c>
      <c r="G20" s="8">
        <f>IF(A20&lt;=6,Assumptions!$B$26,IF(A20&lt;=12,Assumptions!$B$27,Assumptions!$B$28))</f>
        <v/>
      </c>
      <c r="H20" s="8">
        <f>F20-G20</f>
        <v/>
      </c>
      <c r="I20" s="9">
        <f>IF(E20&gt;0,H20/E20,0)</f>
        <v/>
      </c>
    </row>
    <row r="21">
      <c r="A21" t="n">
        <v>20</v>
      </c>
      <c r="B21" s="8">
        <f>'User Growth'!C21*PrecioPro</f>
        <v/>
      </c>
      <c r="C21" s="8">
        <f>'User Growth'!E21*PrecioProPlus</f>
        <v/>
      </c>
      <c r="D21" s="8">
        <f>'User Growth'!G21*PrecioFamily</f>
        <v/>
      </c>
      <c r="E21" s="8">
        <f>B21+C21+D21</f>
        <v/>
      </c>
      <c r="F21" s="8">
        <f>B21*MarginPro+C21*MarginProPlus+D21*MarginFamily</f>
        <v/>
      </c>
      <c r="G21" s="8">
        <f>IF(A21&lt;=6,Assumptions!$B$26,IF(A21&lt;=12,Assumptions!$B$27,Assumptions!$B$28))</f>
        <v/>
      </c>
      <c r="H21" s="8">
        <f>F21-G21</f>
        <v/>
      </c>
      <c r="I21" s="9">
        <f>IF(E21&gt;0,H21/E21,0)</f>
        <v/>
      </c>
    </row>
    <row r="22">
      <c r="A22" t="n">
        <v>21</v>
      </c>
      <c r="B22" s="8">
        <f>'User Growth'!C22*PrecioPro</f>
        <v/>
      </c>
      <c r="C22" s="8">
        <f>'User Growth'!E22*PrecioProPlus</f>
        <v/>
      </c>
      <c r="D22" s="8">
        <f>'User Growth'!G22*PrecioFamily</f>
        <v/>
      </c>
      <c r="E22" s="8">
        <f>B22+C22+D22</f>
        <v/>
      </c>
      <c r="F22" s="8">
        <f>B22*MarginPro+C22*MarginProPlus+D22*MarginFamily</f>
        <v/>
      </c>
      <c r="G22" s="8">
        <f>IF(A22&lt;=6,Assumptions!$B$26,IF(A22&lt;=12,Assumptions!$B$27,Assumptions!$B$28))</f>
        <v/>
      </c>
      <c r="H22" s="8">
        <f>F22-G22</f>
        <v/>
      </c>
      <c r="I22" s="9">
        <f>IF(E22&gt;0,H22/E22,0)</f>
        <v/>
      </c>
    </row>
    <row r="23">
      <c r="A23" t="n">
        <v>22</v>
      </c>
      <c r="B23" s="8">
        <f>'User Growth'!C23*PrecioPro</f>
        <v/>
      </c>
      <c r="C23" s="8">
        <f>'User Growth'!E23*PrecioProPlus</f>
        <v/>
      </c>
      <c r="D23" s="8">
        <f>'User Growth'!G23*PrecioFamily</f>
        <v/>
      </c>
      <c r="E23" s="8">
        <f>B23+C23+D23</f>
        <v/>
      </c>
      <c r="F23" s="8">
        <f>B23*MarginPro+C23*MarginProPlus+D23*MarginFamily</f>
        <v/>
      </c>
      <c r="G23" s="8">
        <f>IF(A23&lt;=6,Assumptions!$B$26,IF(A23&lt;=12,Assumptions!$B$27,Assumptions!$B$28))</f>
        <v/>
      </c>
      <c r="H23" s="8">
        <f>F23-G23</f>
        <v/>
      </c>
      <c r="I23" s="9">
        <f>IF(E23&gt;0,H23/E23,0)</f>
        <v/>
      </c>
    </row>
    <row r="24">
      <c r="A24" t="n">
        <v>23</v>
      </c>
      <c r="B24" s="8">
        <f>'User Growth'!C24*PrecioPro</f>
        <v/>
      </c>
      <c r="C24" s="8">
        <f>'User Growth'!E24*PrecioProPlus</f>
        <v/>
      </c>
      <c r="D24" s="8">
        <f>'User Growth'!G24*PrecioFamily</f>
        <v/>
      </c>
      <c r="E24" s="8">
        <f>B24+C24+D24</f>
        <v/>
      </c>
      <c r="F24" s="8">
        <f>B24*MarginPro+C24*MarginProPlus+D24*MarginFamily</f>
        <v/>
      </c>
      <c r="G24" s="8">
        <f>IF(A24&lt;=6,Assumptions!$B$26,IF(A24&lt;=12,Assumptions!$B$27,Assumptions!$B$28))</f>
        <v/>
      </c>
      <c r="H24" s="8">
        <f>F24-G24</f>
        <v/>
      </c>
      <c r="I24" s="9">
        <f>IF(E24&gt;0,H24/E24,0)</f>
        <v/>
      </c>
    </row>
    <row r="25">
      <c r="A25" t="n">
        <v>24</v>
      </c>
      <c r="B25" s="8">
        <f>'User Growth'!C25*PrecioPro</f>
        <v/>
      </c>
      <c r="C25" s="8">
        <f>'User Growth'!E25*PrecioProPlus</f>
        <v/>
      </c>
      <c r="D25" s="8">
        <f>'User Growth'!G25*PrecioFamily</f>
        <v/>
      </c>
      <c r="E25" s="8">
        <f>B25+C25+D25</f>
        <v/>
      </c>
      <c r="F25" s="8">
        <f>B25*MarginPro+C25*MarginProPlus+D25*MarginFamily</f>
        <v/>
      </c>
      <c r="G25" s="8">
        <f>IF(A25&lt;=6,Assumptions!$B$26,IF(A25&lt;=12,Assumptions!$B$27,Assumptions!$B$28))</f>
        <v/>
      </c>
      <c r="H25" s="8">
        <f>F25-G25</f>
        <v/>
      </c>
      <c r="I25" s="9">
        <f>IF(E25&gt;0,H25/E25,0)</f>
        <v/>
      </c>
    </row>
  </sheetData>
  <conditionalFormatting sqref="H2:H2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0" t="inlineStr">
        <is>
          <t>UNIT ECONOMICS</t>
        </is>
      </c>
    </row>
    <row r="3">
      <c r="B3" s="6" t="inlineStr">
        <is>
          <t>Pro</t>
        </is>
      </c>
      <c r="C3" s="6" t="inlineStr">
        <is>
          <t>Pro+</t>
        </is>
      </c>
      <c r="D3" s="6" t="inlineStr">
        <is>
          <t>Family</t>
        </is>
      </c>
    </row>
    <row r="4">
      <c r="A4" s="11" t="inlineStr">
        <is>
          <t>Price (MXN/month)</t>
        </is>
      </c>
      <c r="B4" s="12">
        <f>PrecioPro</f>
        <v/>
      </c>
      <c r="C4" s="12">
        <f>PrecioProPlus</f>
        <v/>
      </c>
      <c r="D4" s="12">
        <f>PrecioFamily</f>
        <v/>
      </c>
    </row>
    <row r="5">
      <c r="A5" s="11" t="inlineStr">
        <is>
          <t>Margin %</t>
        </is>
      </c>
      <c r="B5" s="13">
        <f>MarginPro</f>
        <v/>
      </c>
      <c r="C5" s="13">
        <f>MarginProPlus</f>
        <v/>
      </c>
      <c r="D5" s="13">
        <f>MarginFamily</f>
        <v/>
      </c>
    </row>
    <row r="6">
      <c r="A6" s="11" t="inlineStr">
        <is>
          <t>Monthly Churn %</t>
        </is>
      </c>
      <c r="B6" s="13">
        <f>ChurnPro</f>
        <v/>
      </c>
      <c r="C6" s="13">
        <f>ChurnProPlus</f>
        <v/>
      </c>
      <c r="D6" s="13">
        <f>ChurnFamily</f>
        <v/>
      </c>
    </row>
    <row r="7">
      <c r="A7" s="11" t="inlineStr"/>
    </row>
    <row r="8">
      <c r="A8" s="11" t="inlineStr">
        <is>
          <t>LTV (MXN)</t>
        </is>
      </c>
      <c r="B8" s="12">
        <f>B4*B5/B6</f>
        <v/>
      </c>
      <c r="C8" s="12">
        <f>C4*C5/C6</f>
        <v/>
      </c>
      <c r="D8" s="12">
        <f>D4*D5/D6</f>
        <v/>
      </c>
    </row>
    <row r="9">
      <c r="A9" s="11" t="inlineStr">
        <is>
          <t>CAC (MXN)</t>
        </is>
      </c>
      <c r="B9" s="12">
        <f>CACPro</f>
        <v/>
      </c>
      <c r="C9" s="12">
        <f>CACProPlus</f>
        <v/>
      </c>
      <c r="D9" s="12">
        <f>CACFamily</f>
        <v/>
      </c>
    </row>
    <row r="10">
      <c r="A10" s="11" t="inlineStr">
        <is>
          <t>LTV/CAC Ratio</t>
        </is>
      </c>
      <c r="B10" s="14">
        <f>IF(B9&gt;0,B8/B9,0)</f>
        <v/>
      </c>
      <c r="C10" s="14">
        <f>IF(C9&gt;0,C8/C9,0)</f>
        <v/>
      </c>
      <c r="D10" s="14">
        <f>IF(D9&gt;0,D8/D9,0)</f>
        <v/>
      </c>
    </row>
    <row r="11">
      <c r="A11" s="11" t="inlineStr"/>
    </row>
    <row r="12">
      <c r="A12" s="11" t="inlineStr">
        <is>
          <t>Payback (months)</t>
        </is>
      </c>
      <c r="B12" s="15">
        <f>IF(B4*B5&gt;0,B9/(B4*B5),0)</f>
        <v/>
      </c>
      <c r="C12" s="15">
        <f>IF(C4*C5&gt;0,C9/(C4*C5),0)</f>
        <v/>
      </c>
      <c r="D12" s="15">
        <f>IF(D4*D5&gt;0,D9/(D4*D5),0)</f>
        <v/>
      </c>
    </row>
    <row r="13">
      <c r="A13" s="11" t="inlineStr">
        <is>
          <t>Margin/User (MXN)</t>
        </is>
      </c>
      <c r="B13" s="12">
        <f>B4*B5</f>
        <v/>
      </c>
      <c r="C13" s="12">
        <f>C4*C5</f>
        <v/>
      </c>
      <c r="D13" s="12">
        <f>D4*D5</f>
        <v/>
      </c>
    </row>
  </sheetData>
  <mergeCells count="1">
    <mergeCell ref="A1:D1"/>
  </mergeCells>
  <conditionalFormatting sqref="B10:D10">
    <cfRule type="cellIs" priority="1" operator="greaterThanOrEqual" dxfId="2">
      <formula>3</formula>
    </cfRule>
    <cfRule type="cellIs" priority="2" operator="lessThan" dxfId="3">
      <formula>3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WUBI - FINANCIAL DASHBOARD</t>
        </is>
      </c>
    </row>
    <row r="3">
      <c r="B3" s="6" t="inlineStr">
        <is>
          <t>6 Months</t>
        </is>
      </c>
      <c r="C3" s="6" t="inlineStr">
        <is>
          <t>12 Months</t>
        </is>
      </c>
      <c r="D3" s="6" t="inlineStr">
        <is>
          <t>24 Months</t>
        </is>
      </c>
    </row>
    <row r="5">
      <c r="A5" s="2" t="inlineStr">
        <is>
          <t>USERS</t>
        </is>
      </c>
    </row>
    <row r="6">
      <c r="A6" t="inlineStr">
        <is>
          <t>Total Users</t>
        </is>
      </c>
      <c r="B6" s="7">
        <f>'User Growth'!H7</f>
        <v/>
      </c>
      <c r="C6" s="7">
        <f>'User Growth'!H13</f>
        <v/>
      </c>
      <c r="D6" s="7">
        <f>'User Growth'!H25</f>
        <v/>
      </c>
    </row>
    <row r="7">
      <c r="A7" t="inlineStr">
        <is>
          <t xml:space="preserve">  - Plan Pro</t>
        </is>
      </c>
      <c r="B7" s="7">
        <f>'User Growth'!C7</f>
        <v/>
      </c>
      <c r="C7" s="7">
        <f>'User Growth'!C13</f>
        <v/>
      </c>
      <c r="D7" s="7">
        <f>'User Growth'!C25</f>
        <v/>
      </c>
    </row>
    <row r="8">
      <c r="A8" t="inlineStr">
        <is>
          <t xml:space="preserve">  - Plan Pro+</t>
        </is>
      </c>
      <c r="B8" s="7">
        <f>'User Growth'!E7</f>
        <v/>
      </c>
      <c r="C8" s="7">
        <f>'User Growth'!E13</f>
        <v/>
      </c>
      <c r="D8" s="7">
        <f>'User Growth'!E25</f>
        <v/>
      </c>
    </row>
    <row r="9">
      <c r="A9" t="inlineStr">
        <is>
          <t xml:space="preserve">  - Plan Family</t>
        </is>
      </c>
      <c r="B9" s="7">
        <f>'User Growth'!G7</f>
        <v/>
      </c>
      <c r="C9" s="7">
        <f>'User Growth'!G13</f>
        <v/>
      </c>
      <c r="D9" s="7">
        <f>'User Growth'!G25</f>
        <v/>
      </c>
    </row>
    <row r="11">
      <c r="A11" s="2" t="inlineStr">
        <is>
          <t>REVENUE</t>
        </is>
      </c>
    </row>
    <row r="12">
      <c r="A12" t="inlineStr">
        <is>
          <t>MRR</t>
        </is>
      </c>
      <c r="B12" s="8">
        <f>'P&amp;L Projection'!E7</f>
        <v/>
      </c>
      <c r="C12" s="8">
        <f>'P&amp;L Projection'!E13</f>
        <v/>
      </c>
      <c r="D12" s="8">
        <f>'P&amp;L Projection'!E25</f>
        <v/>
      </c>
    </row>
    <row r="13">
      <c r="A13" t="inlineStr">
        <is>
          <t>ARR</t>
        </is>
      </c>
      <c r="B13" s="8">
        <f>B12*12</f>
        <v/>
      </c>
      <c r="C13" s="8">
        <f>C12*12</f>
        <v/>
      </c>
      <c r="D13" s="8">
        <f>D12*12</f>
        <v/>
      </c>
    </row>
    <row r="15">
      <c r="A15" s="2" t="inlineStr">
        <is>
          <t>PROFITABILITY</t>
        </is>
      </c>
    </row>
    <row r="16">
      <c r="A16" t="inlineStr">
        <is>
          <t>Gross Margin</t>
        </is>
      </c>
      <c r="B16" s="8">
        <f>'P&amp;L Projection'!F7</f>
        <v/>
      </c>
      <c r="C16" s="8">
        <f>'P&amp;L Projection'!F13</f>
        <v/>
      </c>
      <c r="D16" s="8">
        <f>'P&amp;L Projection'!F25</f>
        <v/>
      </c>
    </row>
    <row r="17">
      <c r="A17" t="inlineStr">
        <is>
          <t>Fixed Costs</t>
        </is>
      </c>
      <c r="B17" s="8">
        <f>'P&amp;L Projection'!G7</f>
        <v/>
      </c>
      <c r="C17" s="8">
        <f>'P&amp;L Projection'!G13</f>
        <v/>
      </c>
      <c r="D17" s="8">
        <f>'P&amp;L Projection'!G25</f>
        <v/>
      </c>
    </row>
    <row r="18">
      <c r="A18" t="inlineStr">
        <is>
          <t>Net Profit</t>
        </is>
      </c>
      <c r="B18" s="8">
        <f>'P&amp;L Projection'!H7</f>
        <v/>
      </c>
      <c r="C18" s="8">
        <f>'P&amp;L Projection'!H13</f>
        <v/>
      </c>
      <c r="D18" s="8">
        <f>'P&amp;L Projection'!H25</f>
        <v/>
      </c>
    </row>
    <row r="19">
      <c r="A19" t="inlineStr">
        <is>
          <t>Margin %</t>
        </is>
      </c>
      <c r="B19" s="9">
        <f>'P&amp;L Projection'!I7</f>
        <v/>
      </c>
      <c r="C19" s="9">
        <f>'P&amp;L Projection'!I13</f>
        <v/>
      </c>
      <c r="D19" s="9">
        <f>'P&amp;L Projection'!I25</f>
        <v/>
      </c>
    </row>
    <row r="21">
      <c r="A21" s="2" t="inlineStr">
        <is>
          <t>CUMULATIVE</t>
        </is>
      </c>
    </row>
    <row r="22">
      <c r="A22" t="inlineStr">
        <is>
          <t>Cumul. Revenue</t>
        </is>
      </c>
      <c r="B22" s="8">
        <f>SUM('P&amp;L Projection'!E2:E7)</f>
        <v/>
      </c>
      <c r="C22" s="8">
        <f>SUM('P&amp;L Projection'!E2:E13)</f>
        <v/>
      </c>
      <c r="D22" s="8">
        <f>SUM('P&amp;L Projection'!E2:E25)</f>
        <v/>
      </c>
    </row>
    <row r="23">
      <c r="A23" t="inlineStr">
        <is>
          <t>Cumul. Profit</t>
        </is>
      </c>
      <c r="B23" s="8">
        <f>SUM('P&amp;L Projection'!H2:H7)</f>
        <v/>
      </c>
      <c r="C23" s="8">
        <f>SUM('P&amp;L Projection'!H2:H13)</f>
        <v/>
      </c>
      <c r="D23" s="8">
        <f>SUM('P&amp;L Projection'!H2:H25)</f>
        <v/>
      </c>
    </row>
    <row r="25">
      <c r="A25" s="2" t="inlineStr">
        <is>
          <t>UNIT ECONOMICS</t>
        </is>
      </c>
    </row>
    <row r="26">
      <c r="A26" t="inlineStr">
        <is>
          <t>LTV/CAC Pro</t>
        </is>
      </c>
      <c r="B26" s="16">
        <f>'Unit Economics'!B10</f>
        <v/>
      </c>
      <c r="C26" s="16">
        <f>'Unit Economics'!B10</f>
        <v/>
      </c>
      <c r="D26" s="16">
        <f>'Unit Economics'!B10</f>
        <v/>
      </c>
    </row>
    <row r="27">
      <c r="A27" t="inlineStr">
        <is>
          <t>Payback Pro (months)</t>
        </is>
      </c>
      <c r="B27" s="17">
        <f>'Unit Economics'!B12</f>
        <v/>
      </c>
      <c r="C27" s="17">
        <f>'Unit Economics'!B12</f>
        <v/>
      </c>
      <c r="D27" s="17">
        <f>'Unit Economics'!B12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0" t="inlineStr">
        <is>
          <t>SCENARIO ANALYSIS (24 MONTHS)</t>
        </is>
      </c>
    </row>
    <row r="3">
      <c r="B3" s="6" t="inlineStr">
        <is>
          <t>Conservative</t>
        </is>
      </c>
      <c r="C3" s="6" t="inlineStr">
        <is>
          <t>Base</t>
        </is>
      </c>
      <c r="D3" s="6" t="inlineStr">
        <is>
          <t>Optimistic</t>
        </is>
      </c>
    </row>
    <row r="5">
      <c r="A5" s="2" t="inlineStr">
        <is>
          <t>ASSUMPTIONS</t>
        </is>
      </c>
    </row>
    <row r="6">
      <c r="A6" t="inlineStr">
        <is>
          <t>Churn Pro (%)</t>
        </is>
      </c>
      <c r="B6" s="18" t="n">
        <v>0.06</v>
      </c>
      <c r="C6" s="18">
        <f>ChurnPro</f>
        <v/>
      </c>
      <c r="D6" s="18" t="n">
        <v>0.03</v>
      </c>
    </row>
    <row r="7">
      <c r="A7" t="inlineStr">
        <is>
          <t>CAC Pro (MXN)</t>
        </is>
      </c>
      <c r="B7" s="7" t="n">
        <v>400</v>
      </c>
      <c r="C7" s="7">
        <f>CACPro</f>
        <v/>
      </c>
      <c r="D7" s="7" t="n">
        <v>200</v>
      </c>
    </row>
    <row r="8">
      <c r="A8" t="inlineStr">
        <is>
          <t>New Pro/month (M13-24)</t>
        </is>
      </c>
      <c r="B8" s="7" t="n">
        <v>50</v>
      </c>
      <c r="C8" s="7">
        <f>Assumptions!$B$33</f>
        <v/>
      </c>
      <c r="D8" s="7" t="n">
        <v>150</v>
      </c>
    </row>
    <row r="9">
      <c r="A9" t="inlineStr">
        <is>
          <t>Price Pro (MXN)</t>
        </is>
      </c>
      <c r="B9" s="8">
        <f>PrecioPro</f>
        <v/>
      </c>
      <c r="C9" s="8">
        <f>PrecioPro</f>
        <v/>
      </c>
      <c r="D9" s="8">
        <f>PrecioPro</f>
        <v/>
      </c>
    </row>
    <row r="10">
      <c r="A10" t="inlineStr">
        <is>
          <t>Margin Pro (%)</t>
        </is>
      </c>
      <c r="B10" s="18">
        <f>MarginPro</f>
        <v/>
      </c>
      <c r="C10" s="18">
        <f>MarginPro</f>
        <v/>
      </c>
      <c r="D10" s="18">
        <f>MarginPro</f>
        <v/>
      </c>
    </row>
    <row r="12">
      <c r="A12" s="2" t="inlineStr">
        <is>
          <t>ESTIMATED RESULTS</t>
        </is>
      </c>
    </row>
    <row r="13">
      <c r="A13" t="inlineStr">
        <is>
          <t>Est. Active Pro Users</t>
        </is>
      </c>
      <c r="B13" s="7">
        <f>IF(B6&gt;0, B8/B6, 0)</f>
        <v/>
      </c>
      <c r="C13" s="7">
        <f>IF(C6&gt;0, C8/C6, 0)</f>
        <v/>
      </c>
      <c r="D13" s="7">
        <f>IF(D6&gt;0, D8/D6, 0)</f>
        <v/>
      </c>
    </row>
    <row r="14">
      <c r="A14" t="inlineStr">
        <is>
          <t>Est. MRR Pro</t>
        </is>
      </c>
      <c r="B14" s="8">
        <f>B13*B9</f>
        <v/>
      </c>
      <c r="C14" s="8">
        <f>C13*C9</f>
        <v/>
      </c>
      <c r="D14" s="8">
        <f>D13*D9</f>
        <v/>
      </c>
    </row>
    <row r="15">
      <c r="A15" t="inlineStr">
        <is>
          <t>Est. Gross Margin</t>
        </is>
      </c>
      <c r="B15" s="8">
        <f>B14*B10</f>
        <v/>
      </c>
      <c r="C15" s="8">
        <f>C14*C10</f>
        <v/>
      </c>
      <c r="D15" s="8">
        <f>D14*D10</f>
        <v/>
      </c>
    </row>
    <row r="16">
      <c r="A16" t="inlineStr">
        <is>
          <t>LTV/CAC</t>
        </is>
      </c>
      <c r="B16" s="16">
        <f>IF(B7&gt;0, (B9*B10/B6)/B7, 0)</f>
        <v/>
      </c>
      <c r="C16" s="16">
        <f>IF(C7&gt;0, (C9*C10/C6)/C7, 0)</f>
        <v/>
      </c>
      <c r="D16" s="16">
        <f>IF(D7&gt;0, (D9*D10/D6)/D7, 0)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9" t="inlineStr">
        <is>
          <t>SENSITIVITY ANALYSIS: LTV/CAC PLAN PRO</t>
        </is>
      </c>
    </row>
    <row r="3">
      <c r="A3" s="6" t="inlineStr">
        <is>
          <t>CAC / Churn</t>
        </is>
      </c>
      <c r="B3" s="6" t="inlineStr">
        <is>
          <t>3%</t>
        </is>
      </c>
      <c r="C3" s="6" t="inlineStr">
        <is>
          <t>4%</t>
        </is>
      </c>
      <c r="D3" s="6" t="inlineStr">
        <is>
          <t>5%</t>
        </is>
      </c>
      <c r="E3" s="6" t="inlineStr">
        <is>
          <t>6%</t>
        </is>
      </c>
      <c r="F3" s="6" t="inlineStr">
        <is>
          <t>7%</t>
        </is>
      </c>
    </row>
    <row r="4">
      <c r="A4" s="20" t="n">
        <v>200</v>
      </c>
      <c r="B4" s="16">
        <f>(PrecioPro*MarginPro)/0.03/200</f>
        <v/>
      </c>
      <c r="C4" s="16">
        <f>(PrecioPro*MarginPro)/0.04/200</f>
        <v/>
      </c>
      <c r="D4" s="16">
        <f>(PrecioPro*MarginPro)/0.05/200</f>
        <v/>
      </c>
      <c r="E4" s="16">
        <f>(PrecioPro*MarginPro)/0.06/200</f>
        <v/>
      </c>
      <c r="F4" s="16">
        <f>(PrecioPro*MarginPro)/0.07/200</f>
        <v/>
      </c>
    </row>
    <row r="5">
      <c r="A5" s="20" t="n">
        <v>300</v>
      </c>
      <c r="B5" s="16">
        <f>(PrecioPro*MarginPro)/0.03/300</f>
        <v/>
      </c>
      <c r="C5" s="16">
        <f>(PrecioPro*MarginPro)/0.04/300</f>
        <v/>
      </c>
      <c r="D5" s="16">
        <f>(PrecioPro*MarginPro)/0.05/300</f>
        <v/>
      </c>
      <c r="E5" s="16">
        <f>(PrecioPro*MarginPro)/0.06/300</f>
        <v/>
      </c>
      <c r="F5" s="16">
        <f>(PrecioPro*MarginPro)/0.07/300</f>
        <v/>
      </c>
    </row>
    <row r="6">
      <c r="A6" s="20" t="n">
        <v>400</v>
      </c>
      <c r="B6" s="16">
        <f>(PrecioPro*MarginPro)/0.03/400</f>
        <v/>
      </c>
      <c r="C6" s="16">
        <f>(PrecioPro*MarginPro)/0.04/400</f>
        <v/>
      </c>
      <c r="D6" s="16">
        <f>(PrecioPro*MarginPro)/0.05/400</f>
        <v/>
      </c>
      <c r="E6" s="16">
        <f>(PrecioPro*MarginPro)/0.06/400</f>
        <v/>
      </c>
      <c r="F6" s="16">
        <f>(PrecioPro*MarginPro)/0.07/400</f>
        <v/>
      </c>
    </row>
    <row r="7">
      <c r="A7" s="20" t="n">
        <v>500</v>
      </c>
      <c r="B7" s="16">
        <f>(PrecioPro*MarginPro)/0.03/500</f>
        <v/>
      </c>
      <c r="C7" s="16">
        <f>(PrecioPro*MarginPro)/0.04/500</f>
        <v/>
      </c>
      <c r="D7" s="16">
        <f>(PrecioPro*MarginPro)/0.05/500</f>
        <v/>
      </c>
      <c r="E7" s="16">
        <f>(PrecioPro*MarginPro)/0.06/500</f>
        <v/>
      </c>
      <c r="F7" s="16">
        <f>(PrecioPro*MarginPro)/0.07/500</f>
        <v/>
      </c>
    </row>
  </sheetData>
  <mergeCells count="1">
    <mergeCell ref="A1:F1"/>
  </mergeCells>
  <conditionalFormatting sqref="B4:F7">
    <cfRule type="cellIs" priority="1" operator="greaterThanOrEqual" dxfId="0">
      <formula>3</formula>
    </cfRule>
    <cfRule type="cellIs" priority="2" operator="lessThan" dxfId="1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2026-02-16T18:24:17Z</dcterms:created>
  <dcterms:modified xsi:type="dcterms:W3CDTF">2026-02-16T18:24:17Z</dcterms:modified>
</cp:coreProperties>
</file>